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17" codeName="{AB3344F7-D241-B141-7B5F-E26DF2BE0A92}"/>
  <workbookPr codeName="ЭтаКнига"/>
  <mc:AlternateContent xmlns:mc="http://schemas.openxmlformats.org/markup-compatibility/2006">
    <mc:Choice Requires="x15">
      <x15ac:absPath xmlns:x15ac="http://schemas.microsoft.com/office/spreadsheetml/2010/11/ac" url="D:\Education\Sem6\"/>
    </mc:Choice>
  </mc:AlternateContent>
  <xr:revisionPtr revIDLastSave="0" documentId="13_ncr:1_{ECB5EE08-53EF-4252-8DF2-6141B477CE30}" xr6:coauthVersionLast="47" xr6:coauthVersionMax="47" xr10:uidLastSave="{00000000-0000-0000-0000-000000000000}"/>
  <bookViews>
    <workbookView xWindow="3768" yWindow="3540" windowWidth="17280" windowHeight="9420" xr2:uid="{00000000-000D-0000-FFFF-FFFF0000000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9" i="1" l="1"/>
  <c r="W3" i="1"/>
  <c r="W4" i="1"/>
  <c r="W5" i="1"/>
  <c r="W6" i="1"/>
  <c r="W7" i="1"/>
  <c r="W8" i="1"/>
  <c r="W10" i="1"/>
  <c r="W2" i="1"/>
  <c r="Z9" i="1" a="1"/>
  <c r="Z6" i="1" a="1"/>
  <c r="AA8" i="1" a="1"/>
  <c r="AA7" i="1" a="1"/>
  <c r="AA9" i="1" a="1"/>
  <c r="X4" i="1" a="1"/>
  <c r="X8" i="1" a="1"/>
  <c r="AA10" i="1" a="1"/>
  <c r="X2" i="1" a="1"/>
  <c r="AA6" i="1" a="1"/>
  <c r="AA5" i="1" a="1"/>
  <c r="AA2" i="1" a="1"/>
  <c r="X10" i="1" a="1"/>
  <c r="Z8" i="1" a="1"/>
  <c r="X7" i="1" a="1"/>
  <c r="X5" i="1" a="1"/>
  <c r="Z3" i="1" a="1"/>
  <c r="Z10" i="1" a="1"/>
  <c r="AA3" i="1" a="1"/>
  <c r="X9" i="1" a="1"/>
  <c r="Z7" i="1" a="1"/>
  <c r="X3" i="1" a="1"/>
  <c r="AA4" i="1" a="1"/>
  <c r="Z2" i="1" a="1"/>
  <c r="Z4" i="1" a="1"/>
  <c r="X6" i="1" a="1"/>
  <c r="Z5" i="1" a="1"/>
  <c r="AA9" i="1" l="1"/>
  <c r="AA6" i="1"/>
  <c r="AA3" i="1"/>
  <c r="AA10" i="1"/>
  <c r="AA7" i="1"/>
  <c r="AA5" i="1"/>
  <c r="AA8" i="1"/>
  <c r="AA4" i="1"/>
  <c r="AA2" i="1"/>
  <c r="Z4" i="1"/>
  <c r="Z10" i="1"/>
  <c r="Z9" i="1"/>
  <c r="Z8" i="1"/>
  <c r="Z7" i="1"/>
  <c r="Z6" i="1"/>
  <c r="Z5" i="1"/>
  <c r="Z3" i="1"/>
  <c r="Z2" i="1"/>
  <c r="X3" i="1"/>
  <c r="X10" i="1"/>
  <c r="X9" i="1"/>
  <c r="X8" i="1"/>
  <c r="X6" i="1"/>
  <c r="X4" i="1"/>
  <c r="X7" i="1"/>
  <c r="X5" i="1"/>
  <c r="X2" i="1"/>
  <c r="Y2" i="1" a="1"/>
  <c r="AA11" i="1" l="1"/>
  <c r="AB2" i="1"/>
  <c r="AB5" i="1"/>
  <c r="AB7" i="1"/>
  <c r="AB6" i="1"/>
  <c r="AB8" i="1"/>
  <c r="AB3" i="1"/>
  <c r="AB4" i="1"/>
  <c r="AB9" i="1"/>
  <c r="AB10" i="1"/>
  <c r="Y2" i="1"/>
  <c r="Z11" i="1"/>
  <c r="X11" i="1"/>
  <c r="Y6" i="1" a="1"/>
  <c r="Y8" i="1" a="1"/>
  <c r="Y4" i="1" a="1"/>
  <c r="Y5" i="1" a="1"/>
  <c r="Y10" i="1" a="1"/>
  <c r="Y7" i="1" a="1"/>
  <c r="Y9" i="1" a="1"/>
  <c r="Y3" i="1" a="1"/>
  <c r="Y9" i="1" l="1"/>
  <c r="Y10" i="1"/>
  <c r="Y8" i="1"/>
  <c r="Y5" i="1"/>
  <c r="Y4" i="1"/>
  <c r="Y3" i="1"/>
  <c r="Y6" i="1"/>
  <c r="Y7" i="1"/>
  <c r="AB11" i="1"/>
  <c r="Z12" i="1" l="1"/>
  <c r="AA12" i="1"/>
  <c r="Y11" i="1"/>
  <c r="Y12" i="1" s="1"/>
  <c r="X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<sst xmlns="http://schemas.openxmlformats.org/spreadsheetml/2006/main" count="24" uniqueCount="20">
  <si>
    <t>Сдано</t>
  </si>
  <si>
    <t>Всего</t>
  </si>
  <si>
    <t>PHP</t>
  </si>
  <si>
    <t>3D</t>
  </si>
  <si>
    <t>Цвета и обозначения</t>
  </si>
  <si>
    <t>Сделано</t>
  </si>
  <si>
    <t>Начал</t>
  </si>
  <si>
    <t>Задали</t>
  </si>
  <si>
    <t>Не задали</t>
  </si>
  <si>
    <t>Итого</t>
  </si>
  <si>
    <t>Предмет</t>
  </si>
  <si>
    <t>Процент</t>
  </si>
  <si>
    <t>Надо сдать</t>
  </si>
  <si>
    <t>Надо сделать</t>
  </si>
  <si>
    <t>Python</t>
  </si>
  <si>
    <t>ИБ</t>
  </si>
  <si>
    <t>Геймдизайн</t>
  </si>
  <si>
    <t>Экономика</t>
  </si>
  <si>
    <t xml:space="preserve"> </t>
  </si>
  <si>
    <t>Анимация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</si>
</sst>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92D050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65D965"/>
        <bgColor indexed="64"/>
      </patternFill>
    </fill>
    <fill>
      <patternFill patternType="solid">
        <fgColor rgb="FFA2E06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3" xfId="0" applyBorder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 applyAlignment="1">
      <alignment horizontal="left" vertical="center"/>
    </xf>
    <xf numFmtId="0" fontId="0" fillId="6" borderId="1" xfId="0" applyFill="1" applyBorder="1"/>
    <xf numFmtId="0" fontId="0" fillId="5" borderId="5" xfId="0" applyFill="1" applyBorder="1"/>
    <xf numFmtId="0" fontId="3" fillId="9" borderId="1" xfId="0" applyFont="1" applyFill="1" applyBorder="1"/>
    <xf numFmtId="0" fontId="0" fillId="9" borderId="1" xfId="0" applyFill="1" applyBorder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0" borderId="2" xfId="0" applyBorder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/>
    <xf numFmtId="0" fontId="0" fillId="4" borderId="1" xfId="0" applyFill="1" applyBorder="1" applyAlignment="1">
      <alignment horizontal="right" vertical="top"/>
    </xf>
    <xf numFmtId="0" fontId="0" fillId="13" borderId="1" xfId="0" applyFill="1" applyBorder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/>
    <xf numFmtId="0" fontId="0" fillId="14" borderId="1" xfId="0" applyFill="1" applyBorder="1"/>
    <xf numFmtId="0" fontId="0" fillId="3" borderId="1" xfId="0" applyFill="1" applyBorder="1" applyAlignment="1">
      <alignment horizontal="right" vertical="top"/>
    </xf>
    <xf numFmtId="0" fontId="0" fillId="2" borderId="1" xfId="0" applyFill="1" applyBorder="1"/>
    <xf numFmtId="0" fontId="0" fillId="2" borderId="4" xfId="0" applyFill="1" applyBorder="1" applyAlignment="1">
      <alignment horizontal="right" vertical="top"/>
    </xf>
    <xf numFmtId="0" fontId="0" fillId="15" borderId="1" xfId="0" applyFill="1" applyBorder="1"/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1" xfId="0" applyFill="1" applyBorder="1"/>
    <xf numFmtId="0" fontId="0" fillId="16" borderId="4" xfId="0" applyFill="1" applyBorder="1" applyAlignment="1">
      <alignment horizontal="right" vertical="top"/>
    </xf>
    <xf numFmtId="0" fontId="0" fillId="17" borderId="1" xfId="0" applyFill="1" applyBorder="1"/>
    <xf numFmtId="0" fontId="0" fillId="11" borderId="4" xfId="0" applyFill="1" applyBorder="1" applyAlignment="1">
      <alignment horizontal="left" vertical="center"/>
    </xf>
    <xf numFmtId="0" fontId="0" fillId="11" borderId="2" xfId="0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0" fontId="0" fillId="18" borderId="6" xfId="0" applyFill="1" applyBorder="1"/>
    <xf numFmtId="0" fontId="0" fillId="18" borderId="5" xfId="0" applyFill="1" applyBorder="1"/>
    <xf numFmtId="0" fontId="2" fillId="4" borderId="5" xfId="0" applyFont="1" applyFill="1" applyBorder="1"/>
    <xf numFmtId="0" fontId="2" fillId="3" borderId="5" xfId="0" applyFont="1" applyFill="1" applyBorder="1"/>
    <xf numFmtId="0" fontId="0" fillId="4" borderId="6" xfId="0" applyFill="1" applyBorder="1"/>
    <xf numFmtId="0" fontId="0" fillId="2" borderId="6" xfId="0" applyFill="1" applyBorder="1"/>
    <xf numFmtId="0" fontId="1" fillId="4" borderId="6" xfId="0" applyFont="1" applyFill="1" applyBorder="1"/>
    <xf numFmtId="0" fontId="0" fillId="0" borderId="1" xfId="0" applyBorder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8" xfId="0" applyFill="1" applyBorder="1"/>
    <xf numFmtId="0" fontId="0" fillId="18" borderId="9" xfId="0" applyFill="1" applyBorder="1"/>
    <xf numFmtId="0" fontId="2" fillId="4" borderId="2" xfId="0" applyFont="1" applyFill="1" applyBorder="1"/>
    <xf numFmtId="0" fontId="2" fillId="18" borderId="10" xfId="0" applyFont="1" applyFill="1" applyBorder="1"/>
    <xf numFmtId="0" fontId="2" fillId="3" borderId="6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99"/>
      <color rgb="FF92D050"/>
      <color rgb="FFA2E06E"/>
      <color rgb="FF6AEE60"/>
      <color rgb="FF94E494"/>
      <color rgb="FF65D965"/>
      <color rgb="FF33CC33"/>
      <color rgb="FF9966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B17"/>
  <sheetViews>
    <sheetView tabSelected="1" topLeftCell="L1" zoomScale="110" zoomScaleNormal="110" workbookViewId="0">
      <selection activeCell="C6" sqref="C6"/>
    </sheetView>
  </sheetViews>
  <sheetFormatPr defaultColWidth="5" defaultRowHeight="14.4" x14ac:dyDescent="0.3"/>
  <cols>
    <col min="1" max="1" width="13.44140625" customWidth="1"/>
    <col min="21" max="22" width="4.88671875" customWidth="1"/>
    <col min="23" max="23" width="14.109375" customWidth="1"/>
    <col min="24" max="25" width="9.77734375" customWidth="1"/>
    <col min="26" max="26" width="11.109375" customWidth="1"/>
    <col min="27" max="27" width="12.33203125" customWidth="1"/>
    <col min="28" max="28" width="10" customWidth="1"/>
  </cols>
  <sheetData>
    <row r="1" spans="1:28" ht="19.8" customHeight="1" x14ac:dyDescent="0.3">
      <c r="A1" s="14" t="s">
        <v>10</v>
      </c>
      <c r="B1" s="15">
        <v>1</v>
      </c>
      <c r="C1" s="15">
        <v>2</v>
      </c>
      <c r="D1" s="15">
        <v>3</v>
      </c>
      <c r="E1" s="15">
        <v>4</v>
      </c>
      <c r="F1" s="15">
        <v>5</v>
      </c>
      <c r="G1" s="15">
        <v>6</v>
      </c>
      <c r="H1" s="15">
        <v>7</v>
      </c>
      <c r="I1" s="15">
        <v>8</v>
      </c>
      <c r="J1" s="15">
        <v>9</v>
      </c>
      <c r="K1" s="15">
        <v>10</v>
      </c>
      <c r="L1" s="15">
        <v>11</v>
      </c>
      <c r="M1" s="15">
        <v>12</v>
      </c>
      <c r="N1" s="15">
        <v>13</v>
      </c>
      <c r="O1" s="15">
        <v>14</v>
      </c>
      <c r="P1" s="15">
        <v>15</v>
      </c>
      <c r="Q1" s="15">
        <v>16</v>
      </c>
      <c r="R1" s="15">
        <v>17</v>
      </c>
      <c r="S1" s="15">
        <v>18</v>
      </c>
      <c r="T1" s="15">
        <v>19</v>
      </c>
      <c r="U1" s="15">
        <v>20</v>
      </c>
      <c r="V1" s="12"/>
      <c r="W1" s="14" t="s">
        <v>10</v>
      </c>
      <c r="X1" s="17" t="s">
        <v>0</v>
      </c>
      <c r="Y1" s="21" t="s">
        <v>5</v>
      </c>
      <c r="Z1" s="29" t="s">
        <v>12</v>
      </c>
      <c r="AA1" s="28" t="s">
        <v>13</v>
      </c>
      <c r="AB1" s="13" t="s">
        <v>1</v>
      </c>
    </row>
    <row r="2" spans="1:28" x14ac:dyDescent="0.3">
      <c r="A2" s="33" t="s">
        <v>2</v>
      </c>
      <c r="B2" s="38"/>
      <c r="C2" s="51"/>
      <c r="D2" s="39"/>
      <c r="E2" s="52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"/>
      <c r="U2" s="3"/>
      <c r="W2" s="35" t="str">
        <f>A2</f>
        <v>PHP</v>
      </c>
      <c r="X2" s="20" cm="1">
        <f t="array" ref="X2">CountGreenCells(B2:U2)</f>
        <v>2</v>
      </c>
      <c r="Y2" s="23" cm="1">
        <f t="array" ref="Y2" xml:space="preserve"> X2 + CountLightGreenCells(B2:U2)</f>
        <v>3</v>
      </c>
      <c r="Z2" s="32" cm="1">
        <f t="array" ref="Z2">CountNonGreenCells(B2:U2)</f>
        <v>16</v>
      </c>
      <c r="AA2" s="27" cm="1">
        <f t="array" ref="AA2">CountNonGreenCells(B2:U2) - CountLightGreenCells(B2:U2)</f>
        <v>15</v>
      </c>
      <c r="AB2" s="7">
        <f>SUM(X2, Z2)</f>
        <v>18</v>
      </c>
    </row>
    <row r="3" spans="1:28" x14ac:dyDescent="0.3">
      <c r="A3" s="33" t="s">
        <v>14</v>
      </c>
      <c r="B3" s="42"/>
      <c r="C3" s="49"/>
      <c r="D3" s="53"/>
      <c r="E3" s="50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4"/>
      <c r="R3" s="4"/>
      <c r="S3" s="4"/>
      <c r="T3" s="4"/>
      <c r="U3" s="4"/>
      <c r="W3" s="35" t="str">
        <f t="shared" ref="W3:W10" si="0">A3</f>
        <v>Python</v>
      </c>
      <c r="X3" s="20" cm="1">
        <f t="array" ref="X3">CountGreenCells(B3:U3)</f>
        <v>2</v>
      </c>
      <c r="Y3" s="23" cm="1">
        <f t="array" ref="Y3" xml:space="preserve"> X3 + CountLightGreenCells(B3:U3)</f>
        <v>3</v>
      </c>
      <c r="Z3" s="32" cm="1">
        <f t="array" ref="Z3">CountNonGreenCells(B3:U3)</f>
        <v>13</v>
      </c>
      <c r="AA3" s="27" cm="1">
        <f t="array" ref="AA3">CountNonGreenCells(B3:U3) - CountLightGreenCells(B3:U3)</f>
        <v>12</v>
      </c>
      <c r="AB3" s="7">
        <f t="shared" ref="AB3:AB10" si="1">SUM(X3, Z3)</f>
        <v>15</v>
      </c>
    </row>
    <row r="4" spans="1:28" x14ac:dyDescent="0.3">
      <c r="A4" s="33" t="s">
        <v>15</v>
      </c>
      <c r="B4" s="41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4"/>
      <c r="R4" s="4"/>
      <c r="S4" s="4"/>
      <c r="T4" s="4"/>
      <c r="U4" s="4"/>
      <c r="W4" s="35" t="str">
        <f t="shared" si="0"/>
        <v>ИБ</v>
      </c>
      <c r="X4" s="20" cm="1">
        <f t="array" ref="X4">CountGreenCells(B4:U4)</f>
        <v>0</v>
      </c>
      <c r="Y4" s="23" cm="1">
        <f t="array" ref="Y4" xml:space="preserve"> X4 + CountLightGreenCells(B4:U4)</f>
        <v>0</v>
      </c>
      <c r="Z4" s="32" cm="1">
        <f t="array" ref="Z4">CountNonGreenCells(B4:U4)</f>
        <v>15</v>
      </c>
      <c r="AA4" s="27" cm="1">
        <f t="array" ref="AA4">CountNonGreenCells(B4:U4) - CountLightGreenCells(B4:U4)</f>
        <v>15</v>
      </c>
      <c r="AB4" s="7">
        <f t="shared" si="1"/>
        <v>15</v>
      </c>
    </row>
    <row r="5" spans="1:28" x14ac:dyDescent="0.3">
      <c r="A5" s="33" t="s">
        <v>16</v>
      </c>
      <c r="B5" s="40"/>
      <c r="C5" s="36"/>
      <c r="D5" s="36"/>
      <c r="E5" s="36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W5" s="35" t="str">
        <f t="shared" si="0"/>
        <v>Геймдизайн</v>
      </c>
      <c r="X5" s="20" cm="1">
        <f t="array" ref="X5">CountGreenCells(B5:U5)</f>
        <v>1</v>
      </c>
      <c r="Y5" s="23" cm="1">
        <f t="array" ref="Y5" xml:space="preserve"> X5 + CountLightGreenCells(B5:U5)</f>
        <v>1</v>
      </c>
      <c r="Z5" s="32" cm="1">
        <f t="array" ref="Z5">CountNonGreenCells(B5:U5)</f>
        <v>3</v>
      </c>
      <c r="AA5" s="27" cm="1">
        <f t="array" ref="AA5">CountNonGreenCells(B5:U5) - CountLightGreenCells(B5:U5)</f>
        <v>3</v>
      </c>
      <c r="AB5" s="7">
        <f t="shared" si="1"/>
        <v>4</v>
      </c>
    </row>
    <row r="6" spans="1:28" x14ac:dyDescent="0.3">
      <c r="A6" s="33" t="s">
        <v>17</v>
      </c>
      <c r="B6" s="41"/>
      <c r="C6" s="36"/>
      <c r="D6" s="36"/>
      <c r="E6" s="36"/>
      <c r="F6" s="36"/>
      <c r="G6" s="36"/>
      <c r="H6" s="36"/>
      <c r="I6" s="36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W6" s="35" t="str">
        <f t="shared" si="0"/>
        <v>Экономика</v>
      </c>
      <c r="X6" s="20" cm="1">
        <f t="array" ref="X6">CountGreenCells(B6:U6)</f>
        <v>0</v>
      </c>
      <c r="Y6" s="23" cm="1">
        <f t="array" ref="Y6" xml:space="preserve"> X6 + CountLightGreenCells(B6:U6)</f>
        <v>0</v>
      </c>
      <c r="Z6" s="32" cm="1">
        <f t="array" ref="Z6">CountNonGreenCells(B6:U6)</f>
        <v>8</v>
      </c>
      <c r="AA6" s="27" cm="1">
        <f t="array" ref="AA6">CountNonGreenCells(B6:U6) - CountLightGreenCells(B6:U6)</f>
        <v>8</v>
      </c>
      <c r="AB6" s="7">
        <f t="shared" si="1"/>
        <v>8</v>
      </c>
    </row>
    <row r="7" spans="1:28" x14ac:dyDescent="0.3">
      <c r="A7" s="33" t="s">
        <v>3</v>
      </c>
      <c r="B7" s="41"/>
      <c r="C7" s="36"/>
      <c r="D7" s="36"/>
      <c r="E7" s="36"/>
      <c r="F7" s="36"/>
      <c r="G7" s="36"/>
      <c r="H7" s="36"/>
      <c r="I7" s="36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W7" s="35" t="str">
        <f t="shared" si="0"/>
        <v>3D</v>
      </c>
      <c r="X7" s="20" cm="1">
        <f t="array" ref="X7">CountGreenCells(B7:U7)</f>
        <v>0</v>
      </c>
      <c r="Y7" s="23" cm="1">
        <f t="array" ref="Y7" xml:space="preserve"> X7 + CountLightGreenCells(B7:U7)</f>
        <v>0</v>
      </c>
      <c r="Z7" s="32" cm="1">
        <f t="array" ref="Z7">CountNonGreenCells(B7:U7)</f>
        <v>8</v>
      </c>
      <c r="AA7" s="27" cm="1">
        <f t="array" ref="AA7">CountNonGreenCells(B7:U7) - CountLightGreenCells(B7:U7)</f>
        <v>8</v>
      </c>
      <c r="AB7" s="7">
        <f t="shared" si="1"/>
        <v>8</v>
      </c>
    </row>
    <row r="8" spans="1:28" x14ac:dyDescent="0.3">
      <c r="A8" s="33" t="s">
        <v>19</v>
      </c>
      <c r="B8" s="40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"/>
      <c r="O8" s="4"/>
      <c r="P8" s="4"/>
      <c r="Q8" s="4"/>
      <c r="R8" s="4"/>
      <c r="S8" s="4"/>
      <c r="T8" s="4"/>
      <c r="U8" s="4"/>
      <c r="W8" s="35" t="str">
        <f t="shared" si="0"/>
        <v>Анимация</v>
      </c>
      <c r="X8" s="20" cm="1">
        <f t="array" ref="X8">CountGreenCells(B8:U8)</f>
        <v>1</v>
      </c>
      <c r="Y8" s="23" cm="1">
        <f t="array" ref="Y8" xml:space="preserve"> X8 + CountLightGreenCells(B8:U8)</f>
        <v>1</v>
      </c>
      <c r="Z8" s="32" cm="1">
        <f t="array" ref="Z8">CountNonGreenCells(B8:U8)</f>
        <v>11</v>
      </c>
      <c r="AA8" s="27" cm="1">
        <f t="array" ref="AA8">CountNonGreenCells(B8:U8) - CountLightGreenCells(B8:U8)</f>
        <v>11</v>
      </c>
      <c r="AB8" s="7">
        <f t="shared" si="1"/>
        <v>12</v>
      </c>
    </row>
    <row r="9" spans="1:28" x14ac:dyDescent="0.3">
      <c r="A9" s="33" t="s">
        <v>18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W9" s="35" t="str">
        <f>A9</f>
        <v xml:space="preserve"> </v>
      </c>
      <c r="X9" s="20" cm="1">
        <f t="array" ref="X9">CountGreenCells(B9:U9)</f>
        <v>0</v>
      </c>
      <c r="Y9" s="23" cm="1">
        <f t="array" ref="Y9" xml:space="preserve"> X9 + CountLightGreenCells(B9:U9)</f>
        <v>0</v>
      </c>
      <c r="Z9" s="32" cm="1">
        <f t="array" ref="Z9">CountNonGreenCells(B9:U9)</f>
        <v>0</v>
      </c>
      <c r="AA9" s="27" cm="1">
        <f t="array" ref="AA9">CountNonGreenCells(B9:U9) - CountLightGreenCells(B9:U9)</f>
        <v>0</v>
      </c>
      <c r="AB9" s="7">
        <f t="shared" si="1"/>
        <v>0</v>
      </c>
    </row>
    <row r="10" spans="1:28" x14ac:dyDescent="0.3">
      <c r="A10" s="34" t="s">
        <v>18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W10" s="35" t="str">
        <f t="shared" si="0"/>
        <v xml:space="preserve"> </v>
      </c>
      <c r="X10" s="20" cm="1">
        <f t="array" ref="X10">CountGreenCells(B10:U10)</f>
        <v>0</v>
      </c>
      <c r="Y10" s="23" cm="1">
        <f t="array" ref="Y10" xml:space="preserve"> X10 + CountLightGreenCells(B10:U10)</f>
        <v>0</v>
      </c>
      <c r="Z10" s="32" cm="1">
        <f t="array" ref="Z10">CountNonGreenCells(B10:U10)</f>
        <v>0</v>
      </c>
      <c r="AA10" s="27" cm="1">
        <f t="array" ref="AA10">CountNonGreenCells(B10:U10) - CountLightGreenCells(B10:U10)</f>
        <v>0</v>
      </c>
      <c r="AB10" s="7">
        <f t="shared" si="1"/>
        <v>0</v>
      </c>
    </row>
    <row r="11" spans="1:28" x14ac:dyDescent="0.3">
      <c r="A11" s="1"/>
      <c r="W11" s="9" t="s">
        <v>9</v>
      </c>
      <c r="X11" s="18">
        <f>SUM(X2:X10)</f>
        <v>6</v>
      </c>
      <c r="Y11" s="22">
        <f>SUM(Y2:Y10)</f>
        <v>8</v>
      </c>
      <c r="Z11" s="30">
        <f>SUM(Z2:Z10)</f>
        <v>74</v>
      </c>
      <c r="AA11" s="25">
        <f>SUM(AA2:AA10)</f>
        <v>72</v>
      </c>
      <c r="AB11" s="8">
        <f>SUM(AB2:AB10)</f>
        <v>80</v>
      </c>
    </row>
    <row r="12" spans="1:28" ht="13.8" customHeight="1" x14ac:dyDescent="0.3">
      <c r="A12" s="43" t="s">
        <v>4</v>
      </c>
      <c r="B12" s="43"/>
      <c r="C12" s="43"/>
      <c r="W12" s="10" t="s">
        <v>11</v>
      </c>
      <c r="X12" s="19" t="str">
        <f>TEXT(X11/$AB11*100, "0,00") &amp; "%"</f>
        <v>7,50%</v>
      </c>
      <c r="Y12" s="24" t="str">
        <f>TEXT(Y11/$AB11*100, "0,00") &amp; "%"</f>
        <v>10,00%</v>
      </c>
      <c r="Z12" s="31" t="str">
        <f>TEXT(Z11/$AB11*100, "0,00") &amp; "%"</f>
        <v>92,50%</v>
      </c>
      <c r="AA12" s="26" t="str">
        <f>TEXT(AA11/$AB11*100, "0,00") &amp; "%"</f>
        <v>90,00%</v>
      </c>
      <c r="AB12" s="16"/>
    </row>
    <row r="13" spans="1:28" ht="14.4" customHeight="1" x14ac:dyDescent="0.3">
      <c r="A13" s="6" t="s">
        <v>0</v>
      </c>
      <c r="B13" s="48"/>
      <c r="C13" s="48"/>
      <c r="W13" s="11"/>
      <c r="X13" s="11"/>
      <c r="Y13" s="11"/>
      <c r="Z13" s="11"/>
      <c r="AA13" s="11"/>
      <c r="AB13" s="11"/>
    </row>
    <row r="14" spans="1:28" x14ac:dyDescent="0.3">
      <c r="A14" s="2" t="s">
        <v>5</v>
      </c>
      <c r="B14" s="47"/>
      <c r="C14" s="47"/>
      <c r="W14" s="11"/>
      <c r="X14" s="11"/>
      <c r="Y14" s="11"/>
      <c r="Z14" s="11"/>
      <c r="AA14" s="11"/>
      <c r="AB14" s="11"/>
    </row>
    <row r="15" spans="1:28" x14ac:dyDescent="0.3">
      <c r="A15" s="2" t="s">
        <v>6</v>
      </c>
      <c r="B15" s="46"/>
      <c r="C15" s="46"/>
      <c r="W15" s="11"/>
      <c r="X15" s="11"/>
      <c r="Y15" s="11"/>
      <c r="Z15" s="11"/>
      <c r="AA15" s="11"/>
      <c r="AB15" s="11"/>
    </row>
    <row r="16" spans="1:28" x14ac:dyDescent="0.3">
      <c r="A16" s="2" t="s">
        <v>7</v>
      </c>
      <c r="B16" s="45"/>
      <c r="C16" s="45"/>
      <c r="W16" s="11"/>
      <c r="X16" s="11"/>
      <c r="Y16" s="11"/>
      <c r="Z16" s="11"/>
      <c r="AA16" s="11"/>
      <c r="AB16" s="11"/>
    </row>
    <row r="17" spans="1:3" x14ac:dyDescent="0.3">
      <c r="A17" s="2" t="s">
        <v>8</v>
      </c>
      <c r="B17" s="44"/>
      <c r="C17" s="44"/>
    </row>
  </sheetData>
  <mergeCells count="6">
    <mergeCell ref="A12:C12"/>
    <mergeCell ref="B17:C17"/>
    <mergeCell ref="B16:C16"/>
    <mergeCell ref="B15:C15"/>
    <mergeCell ref="B14:C14"/>
    <mergeCell ref="B13:C1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Evgeniy Yanukovich</dc:creator>
  <cp:lastModifiedBy>Evgeniy Yanukovich</cp:lastModifiedBy>
  <dcterms:created xsi:type="dcterms:W3CDTF">2015-06-05T18:19:34Z</dcterms:created>
  <dcterms:modified xsi:type="dcterms:W3CDTF">2025-02-20T06:19:16Z</dcterms:modified>
</cp:coreProperties>
</file>